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81746c0a7c734e/Documentos/"/>
    </mc:Choice>
  </mc:AlternateContent>
  <xr:revisionPtr revIDLastSave="42" documentId="8_{9BB178F2-71B9-4432-9282-9F515397CF4B}" xr6:coauthVersionLast="47" xr6:coauthVersionMax="47" xr10:uidLastSave="{AA08A674-334C-41FA-BD70-7D9779EBB347}"/>
  <bookViews>
    <workbookView xWindow="-108" yWindow="-108" windowWidth="23256" windowHeight="13896" xr2:uid="{CC3EBE25-5E96-4C28-9B35-A816C6556DBF}"/>
  </bookViews>
  <sheets>
    <sheet name="2026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C7" i="1"/>
  <c r="M5" i="1" s="1"/>
  <c r="C6" i="1"/>
  <c r="H7" i="1"/>
  <c r="C5" i="1"/>
  <c r="M11" i="1"/>
  <c r="M10" i="1"/>
  <c r="M6" i="1"/>
  <c r="H3" i="1"/>
  <c r="H4" i="1"/>
  <c r="H5" i="1"/>
  <c r="H6" i="1"/>
  <c r="C3" i="1"/>
  <c r="C4" i="1"/>
  <c r="M12" i="1" l="1"/>
  <c r="M7" i="1"/>
</calcChain>
</file>

<file path=xl/sharedStrings.xml><?xml version="1.0" encoding="utf-8"?>
<sst xmlns="http://schemas.openxmlformats.org/spreadsheetml/2006/main" count="32" uniqueCount="19">
  <si>
    <t>DATA</t>
  </si>
  <si>
    <t>MÊS</t>
  </si>
  <si>
    <t>NOME</t>
  </si>
  <si>
    <t>VALOR</t>
  </si>
  <si>
    <t>SALARIO</t>
  </si>
  <si>
    <t>DÉCIMO</t>
  </si>
  <si>
    <t>ENERGIA</t>
  </si>
  <si>
    <t>INTERNET</t>
  </si>
  <si>
    <t>NUBANK</t>
  </si>
  <si>
    <t>SANTANDER</t>
  </si>
  <si>
    <t>DEZ</t>
  </si>
  <si>
    <t>RECEITAS</t>
  </si>
  <si>
    <t>DESPESAS</t>
  </si>
  <si>
    <t>VALOR PARCIAL</t>
  </si>
  <si>
    <t>VALOR TOTAL</t>
  </si>
  <si>
    <t>NOVE STORE</t>
  </si>
  <si>
    <t>MERCADO PAGO</t>
  </si>
  <si>
    <t>INVESTIMENTO</t>
  </si>
  <si>
    <t xml:space="preserve"> MÊS (SELECIONAR)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</si>
</sst>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C16D3-333D-4742-969D-B82B4228A6CE}" name="Tabela1" displayName="Tabela1" ref="B2:E7" totalsRowShown="0" headerRowDxfId="4">
  <autoFilter ref="B2:E7" xr:uid="{300C16D3-333D-4742-969D-B82B4228A6CE}"/>
  <tableColumns count="4">
    <tableColumn id="1" xr3:uid="{98E103FD-3AE3-4458-827B-CECF05FD101E}" name="DATA" dataDxfId="3"/>
    <tableColumn id="2" xr3:uid="{69B38B54-6111-41A2-AB26-C258198FD31E}" name="MÊS" dataDxfId="2">
      <calculatedColumnFormula>TEXT(B3,"mmm")</calculatedColumnFormula>
    </tableColumn>
    <tableColumn id="3" xr3:uid="{4347D56B-6F5F-49EB-931F-C6CA29791DAF}" name="NOME" dataDxfId="1"/>
    <tableColumn id="4" xr3:uid="{5146B0F9-7DBA-4699-ADC7-841FD7FE07A8}" name="VALOR" dataDxfId="0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83D3C-8EA9-489D-8EF8-FC43B1DFF877}" name="Tabela13" displayName="Tabela13" ref="G2:J11" totalsRowShown="0" headerRowDxfId="9">
  <autoFilter ref="G2:J11" xr:uid="{50A83D3C-8EA9-489D-8EF8-FC43B1DFF877}"/>
  <tableColumns count="4">
    <tableColumn id="1" xr3:uid="{9CE94798-EAC2-463B-9F3C-B10C4A601ED4}" name="DATA" dataDxfId="8"/>
    <tableColumn id="2" xr3:uid="{15163F5E-DD98-453D-A561-472A01E8C0ED}" name="MÊS" dataDxfId="7">
      <calculatedColumnFormula>TEXT(G3,"mmm")</calculatedColumnFormula>
    </tableColumn>
    <tableColumn id="3" xr3:uid="{6560642A-2EC6-4A9F-A4EC-FD80B9FE7E39}" name="NOME" dataDxfId="6"/>
    <tableColumn id="4" xr3:uid="{5CA68554-518E-4D14-9AF0-B7C5AF6C3994}" name="VALOR" dataDxfId="5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3024-E67C-493A-B1A2-74AB44E1293F}">
  <dimension ref="B2:M12"/>
  <sheetViews>
    <sheetView tabSelected="1" workbookViewId="0">
      <selection activeCell="G12" sqref="G12"/>
    </sheetView>
  </sheetViews>
  <sheetFormatPr defaultRowHeight="18" x14ac:dyDescent="0.35"/>
  <cols>
    <col min="1" max="1" width="3" customWidth="1"/>
    <col min="2" max="2" width="13.33203125" style="3" bestFit="1" customWidth="1"/>
    <col min="3" max="3" width="15" style="3" customWidth="1"/>
    <col min="4" max="4" width="15.88671875" style="3" customWidth="1"/>
    <col min="5" max="5" width="17.77734375" style="3" customWidth="1"/>
    <col min="6" max="6" width="3.109375" customWidth="1"/>
    <col min="7" max="7" width="13.33203125" style="3" bestFit="1" customWidth="1"/>
    <col min="8" max="8" width="15" style="3" customWidth="1"/>
    <col min="9" max="9" width="18.5546875" style="3" bestFit="1" customWidth="1"/>
    <col min="10" max="10" width="17.77734375" style="3" customWidth="1"/>
    <col min="11" max="11" width="4" customWidth="1"/>
    <col min="12" max="12" width="23.6640625" customWidth="1"/>
    <col min="13" max="13" width="20.44140625" customWidth="1"/>
  </cols>
  <sheetData>
    <row r="2" spans="2:13" x14ac:dyDescent="0.35">
      <c r="B2" s="1" t="s">
        <v>0</v>
      </c>
      <c r="C2" s="1" t="s">
        <v>1</v>
      </c>
      <c r="D2" s="1" t="s">
        <v>2</v>
      </c>
      <c r="E2" s="1" t="s">
        <v>3</v>
      </c>
      <c r="G2" s="5" t="s">
        <v>0</v>
      </c>
      <c r="H2" s="5" t="s">
        <v>1</v>
      </c>
      <c r="I2" s="5" t="s">
        <v>2</v>
      </c>
      <c r="J2" s="5" t="s">
        <v>3</v>
      </c>
      <c r="L2" s="6" t="s">
        <v>18</v>
      </c>
      <c r="M2" s="6" t="s">
        <v>10</v>
      </c>
    </row>
    <row r="3" spans="2:13" x14ac:dyDescent="0.35">
      <c r="B3" s="2">
        <v>46017</v>
      </c>
      <c r="C3" s="3" t="str">
        <f t="shared" ref="C3:C4" si="0">TEXT(B3,"mmm")</f>
        <v>dez</v>
      </c>
      <c r="D3" s="3" t="s">
        <v>4</v>
      </c>
      <c r="E3" s="4">
        <v>2200</v>
      </c>
      <c r="G3" s="2">
        <v>46017</v>
      </c>
      <c r="H3" s="3" t="str">
        <f t="shared" ref="H3:H6" si="1">TEXT(G3,"mmm")</f>
        <v>dez</v>
      </c>
      <c r="I3" s="3" t="s">
        <v>6</v>
      </c>
      <c r="J3" s="4">
        <v>320</v>
      </c>
    </row>
    <row r="4" spans="2:13" x14ac:dyDescent="0.35">
      <c r="B4" s="2">
        <v>46011</v>
      </c>
      <c r="C4" s="3" t="str">
        <f t="shared" si="0"/>
        <v>dez</v>
      </c>
      <c r="D4" s="3" t="s">
        <v>5</v>
      </c>
      <c r="E4" s="4">
        <v>900</v>
      </c>
      <c r="G4" s="2">
        <v>46011</v>
      </c>
      <c r="H4" s="3" t="str">
        <f t="shared" si="1"/>
        <v>dez</v>
      </c>
      <c r="I4" s="3" t="s">
        <v>7</v>
      </c>
      <c r="J4" s="4">
        <v>105</v>
      </c>
      <c r="L4" s="11" t="s">
        <v>13</v>
      </c>
      <c r="M4" s="11"/>
    </row>
    <row r="5" spans="2:13" x14ac:dyDescent="0.35">
      <c r="B5" s="2">
        <v>45992</v>
      </c>
      <c r="C5" s="3" t="str">
        <f>TEXT(B5,"mmm")</f>
        <v>dez</v>
      </c>
      <c r="D5" s="3" t="s">
        <v>15</v>
      </c>
      <c r="E5" s="4">
        <v>1000</v>
      </c>
      <c r="G5" s="2">
        <v>45996</v>
      </c>
      <c r="H5" s="3" t="str">
        <f t="shared" si="1"/>
        <v>dez</v>
      </c>
      <c r="I5" s="3" t="s">
        <v>8</v>
      </c>
      <c r="J5" s="4">
        <v>500</v>
      </c>
      <c r="L5" s="6" t="s">
        <v>11</v>
      </c>
      <c r="M5" s="7">
        <f>SUMIF(Tabela1[MÊS],M2,Tabela1[VALOR])</f>
        <v>4100</v>
      </c>
    </row>
    <row r="6" spans="2:13" x14ac:dyDescent="0.35">
      <c r="B6" s="2">
        <v>45658</v>
      </c>
      <c r="C6" s="13" t="str">
        <f>TEXT(B6,"mmm")</f>
        <v>jan</v>
      </c>
      <c r="D6" s="3" t="s">
        <v>4</v>
      </c>
      <c r="E6" s="4">
        <v>2200</v>
      </c>
      <c r="G6" s="2">
        <v>45996</v>
      </c>
      <c r="H6" s="3" t="str">
        <f t="shared" si="1"/>
        <v>dez</v>
      </c>
      <c r="I6" s="3" t="s">
        <v>9</v>
      </c>
      <c r="J6" s="4">
        <v>250</v>
      </c>
      <c r="L6" s="6" t="s">
        <v>12</v>
      </c>
      <c r="M6" s="8">
        <f>SUMIF(Tabela13[MÊS],M2,Tabela13[VALOR])</f>
        <v>2717</v>
      </c>
    </row>
    <row r="7" spans="2:13" x14ac:dyDescent="0.35">
      <c r="B7" s="2">
        <v>45962</v>
      </c>
      <c r="C7" s="13" t="str">
        <f>TEXT(B7,"mmm")</f>
        <v>nov</v>
      </c>
      <c r="D7" s="3" t="s">
        <v>4</v>
      </c>
      <c r="E7" s="4">
        <v>2200</v>
      </c>
      <c r="G7" s="2">
        <v>45998</v>
      </c>
      <c r="H7" s="3" t="str">
        <f>TEXT(G7,"mmm")</f>
        <v>dez</v>
      </c>
      <c r="I7" s="3" t="s">
        <v>16</v>
      </c>
      <c r="J7" s="4">
        <v>1542</v>
      </c>
      <c r="L7" s="6" t="s">
        <v>17</v>
      </c>
      <c r="M7" s="9">
        <f>M5-M6</f>
        <v>1383</v>
      </c>
    </row>
    <row r="8" spans="2:13" x14ac:dyDescent="0.35">
      <c r="G8" s="2">
        <v>45966</v>
      </c>
      <c r="H8" s="13" t="str">
        <f>TEXT(G8,"mmm")</f>
        <v>nov</v>
      </c>
      <c r="I8" s="3" t="s">
        <v>6</v>
      </c>
      <c r="J8" s="4">
        <v>250</v>
      </c>
    </row>
    <row r="9" spans="2:13" x14ac:dyDescent="0.35">
      <c r="G9" s="2">
        <v>45966</v>
      </c>
      <c r="H9" s="13" t="str">
        <f>TEXT(G9,"mmm")</f>
        <v>nov</v>
      </c>
      <c r="I9" s="3" t="s">
        <v>8</v>
      </c>
      <c r="J9" s="4">
        <v>150</v>
      </c>
      <c r="L9" s="12" t="s">
        <v>14</v>
      </c>
      <c r="M9" s="12"/>
    </row>
    <row r="10" spans="2:13" x14ac:dyDescent="0.35">
      <c r="G10" s="2">
        <v>46027</v>
      </c>
      <c r="H10" s="13" t="str">
        <f>TEXT(G10,"mmm")</f>
        <v>jan</v>
      </c>
      <c r="I10" s="3" t="s">
        <v>6</v>
      </c>
      <c r="J10" s="4">
        <v>179</v>
      </c>
      <c r="L10" s="10" t="s">
        <v>11</v>
      </c>
      <c r="M10" s="7">
        <f>SUM(Tabela1[VALOR])</f>
        <v>8500</v>
      </c>
    </row>
    <row r="11" spans="2:13" x14ac:dyDescent="0.35">
      <c r="G11" s="2">
        <v>46027</v>
      </c>
      <c r="H11" s="13" t="str">
        <f>TEXT(G11,"mmm")</f>
        <v>jan</v>
      </c>
      <c r="I11" s="3" t="s">
        <v>9</v>
      </c>
      <c r="J11" s="4">
        <v>200</v>
      </c>
      <c r="L11" s="10" t="s">
        <v>12</v>
      </c>
      <c r="M11" s="8">
        <f>SUM(Tabela13[VALOR])</f>
        <v>3496</v>
      </c>
    </row>
    <row r="12" spans="2:13" x14ac:dyDescent="0.35">
      <c r="L12" s="10" t="s">
        <v>17</v>
      </c>
      <c r="M12" s="9">
        <f>M10-M11</f>
        <v>5004</v>
      </c>
    </row>
  </sheetData>
  <mergeCells count="2">
    <mergeCell ref="L4:M4"/>
    <mergeCell ref="L9:M9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1CE7-E0B9-4A0B-A177-5E5D14C14F4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2026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ARRUDA SILVA</dc:creator>
  <cp:lastModifiedBy>KELVIN ARRUDA SILVA</cp:lastModifiedBy>
  <dcterms:created xsi:type="dcterms:W3CDTF">2025-12-26T19:41:11Z</dcterms:created>
  <dcterms:modified xsi:type="dcterms:W3CDTF">2025-12-26T20:27:11Z</dcterms:modified>
</cp:coreProperties>
</file>